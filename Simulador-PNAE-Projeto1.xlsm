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 codeName="{52B413DB-416B-A148-0A32-6202AF4EA34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/Users/joaoviana/Downloads/"/>
    </mc:Choice>
  </mc:AlternateContent>
  <xr:revisionPtr revIDLastSave="0" documentId="8_{60949E31-2B9B-2E4E-BE51-59F39D2E9F8F}" xr6:coauthVersionLast="47" xr6:coauthVersionMax="47" xr10:uidLastSave="{00000000-0000-0000-0000-000000000000}"/>
  <bookViews>
    <workbookView xWindow="0" yWindow="0" windowWidth="28160" windowHeight="17620" tabRatio="500" activeTab="1" xr2:uid="{00000000-000D-0000-FFFF-FFFF00000000}"/>
  </bookViews>
  <sheets>
    <sheet name="Parametros_PNAE" sheetId="2" r:id="rId1"/>
    <sheet name="Simulador_Escola" sheetId="3" r:id="rId2"/>
    <sheet name="Banco_de_Dados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20" i="3" l="1"/>
  <c r="C11" i="3"/>
  <c r="D29" i="3" s="1"/>
  <c r="C12" i="3"/>
  <c r="D30" i="3" s="1"/>
  <c r="C13" i="3"/>
  <c r="D31" i="3" s="1"/>
  <c r="C14" i="3"/>
  <c r="D32" i="3" s="1"/>
  <c r="C15" i="3"/>
  <c r="D33" i="3" s="1"/>
  <c r="C16" i="3"/>
  <c r="D34" i="3" s="1"/>
  <c r="C10" i="3"/>
  <c r="B20" i="3"/>
  <c r="C29" i="3"/>
  <c r="C30" i="3"/>
  <c r="C31" i="3"/>
  <c r="C32" i="3"/>
  <c r="C33" i="3"/>
  <c r="C34" i="3"/>
  <c r="C28" i="3"/>
  <c r="B17" i="3"/>
  <c r="C19" i="3" s="1"/>
  <c r="B21" i="3" l="1"/>
  <c r="C35" i="3"/>
  <c r="B39" i="3" s="1"/>
  <c r="D28" i="3"/>
  <c r="D35" i="3" s="1"/>
  <c r="C39" i="3" s="1"/>
  <c r="B19" i="3"/>
  <c r="C23" i="3" s="1"/>
</calcChain>
</file>

<file path=xl/sharedStrings.xml><?xml version="1.0" encoding="utf-8"?>
<sst xmlns="http://schemas.openxmlformats.org/spreadsheetml/2006/main" count="71" uniqueCount="49">
  <si>
    <t>Parâmetros do PNAE — 2026</t>
  </si>
  <si>
    <t>Fonte: Resolução CD/FNDE nº 1, de 18 de fevereiro de 2026 (altera a Resolução CD/FNDE nº 6/2020). Reajuste médio de 14,35% em relação a 2025. Valores em vigor desde a primeira parcela de 2026.</t>
  </si>
  <si>
    <t>Modalidade</t>
  </si>
  <si>
    <t>Valor per capita (R$/dia)</t>
  </si>
  <si>
    <t>Creche</t>
  </si>
  <si>
    <t>Pré-escola</t>
  </si>
  <si>
    <t>Fundamental</t>
  </si>
  <si>
    <t>Médio</t>
  </si>
  <si>
    <t>EJA</t>
  </si>
  <si>
    <t>Indígena/Quilombola</t>
  </si>
  <si>
    <t>AEE (contraturno)</t>
  </si>
  <si>
    <t>Dias letivos (ano)</t>
  </si>
  <si>
    <t>Faixas de Porte da Escola (classificação didática)</t>
  </si>
  <si>
    <t>Matrículas (mínimo)</t>
  </si>
  <si>
    <t>Porte</t>
  </si>
  <si>
    <t>Pequena</t>
  </si>
  <si>
    <t>Média</t>
  </si>
  <si>
    <t>Grande</t>
  </si>
  <si>
    <t>Projeto 1 — Simulador de Repasse do PNAE</t>
  </si>
  <si>
    <t>Escola e matrículas fictícias, criadas para fins didáticos. Valores per capita, dias letivos e a regra de cálculo do repasse são reais (Resolução CD/FNDE nº 1/2026). O bairro é real, no município de Osasco/SP.</t>
  </si>
  <si>
    <t>Nome da Escola (fictício)</t>
  </si>
  <si>
    <t>EMEB Vila Quitaúna</t>
  </si>
  <si>
    <t>Bairro</t>
  </si>
  <si>
    <t>Quitaúna</t>
  </si>
  <si>
    <t>Município</t>
  </si>
  <si>
    <t>Osasco/SP</t>
  </si>
  <si>
    <t>Matrículas por modalidade (ano letivo projetado)</t>
  </si>
  <si>
    <t>Matrículas</t>
  </si>
  <si>
    <t>Total de Matrículas</t>
  </si>
  <si>
    <t>Porte da Escola</t>
  </si>
  <si>
    <t>Dias letivos</t>
  </si>
  <si>
    <t>Repasse Anual Estimado (R$)</t>
  </si>
  <si>
    <t>Elegibilidade para complementação municipal (regra de exercício)</t>
  </si>
  <si>
    <t>Regra criada apenas para praticar SE aninhado e E/OU; não reproduz nenhum critério oficial de complementação.</t>
  </si>
  <si>
    <t>Fator de Variação</t>
  </si>
  <si>
    <t>Faixas criadas para fins didáticos deste curso</t>
  </si>
  <si>
    <t>Modelo para Simulação</t>
  </si>
  <si>
    <t>Fator de Ajuste</t>
  </si>
  <si>
    <t>Matriculadas Ajustadas</t>
  </si>
  <si>
    <t>Total de Matrículas e Repasse</t>
  </si>
  <si>
    <t>TABELA DE DADOS -&gt; Selecionar de A39 até C48 -&gt; Dados/Teste de Hipótese/Tabela de Dados -&gt; Linha não preencher e Coluna informar C26</t>
  </si>
  <si>
    <t>Racional da Taxa</t>
  </si>
  <si>
    <t>Usuário</t>
  </si>
  <si>
    <t>ID</t>
  </si>
  <si>
    <t>Data/Hora</t>
  </si>
  <si>
    <t>Total de Matrículas Ajustadas</t>
  </si>
  <si>
    <t>Repasse Ajustado</t>
  </si>
  <si>
    <t>Queda de nascimento</t>
  </si>
  <si>
    <t>João Henrique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</si>
</sst>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"/>
    <numFmt numFmtId="165" formatCode="dd/mm/yyyy\ hh:mm"/>
    <numFmt numFmtId="166" formatCode="&quot;R$&quot;\ #,##0.00"/>
  </numFmts>
  <fonts count="11" x14ac:knownFonts="1">
    <font>
      <sz val="11"/>
      <color theme="1"/>
      <name val="Calibri"/>
      <family val="2"/>
      <charset val="1"/>
    </font>
    <font>
      <sz val="10"/>
      <color rgb="FF0000FF"/>
      <name val="Arial"/>
      <family val="2"/>
    </font>
    <font>
      <sz val="10"/>
      <color rgb="FF000000"/>
      <name val="Arial"/>
      <family val="2"/>
    </font>
    <font>
      <b/>
      <sz val="10"/>
      <color rgb="FF333333"/>
      <name val="Arial"/>
      <family val="2"/>
    </font>
    <font>
      <b/>
      <sz val="11"/>
      <color rgb="FF333333"/>
      <name val="Arial"/>
      <family val="2"/>
    </font>
    <font>
      <b/>
      <sz val="14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2F2F2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theme="2" tint="-9.9978637043366805E-2"/>
        <bgColor rgb="FF333333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0" borderId="1" xfId="0" applyFont="1" applyBorder="1"/>
    <xf numFmtId="0" fontId="1" fillId="3" borderId="1" xfId="0" applyFont="1" applyFill="1" applyBorder="1" applyAlignment="1">
      <alignment horizontal="center"/>
    </xf>
    <xf numFmtId="0" fontId="3" fillId="2" borderId="1" xfId="0" applyFont="1" applyFill="1" applyBorder="1"/>
    <xf numFmtId="0" fontId="0" fillId="2" borderId="1" xfId="0" applyFill="1" applyBorder="1"/>
    <xf numFmtId="4" fontId="4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0" fontId="6" fillId="4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/>
    </xf>
    <xf numFmtId="0" fontId="7" fillId="0" borderId="1" xfId="0" applyFont="1" applyBorder="1"/>
    <xf numFmtId="4" fontId="7" fillId="0" borderId="1" xfId="0" applyNumberFormat="1" applyFont="1" applyBorder="1" applyAlignment="1">
      <alignment horizontal="center"/>
    </xf>
    <xf numFmtId="0" fontId="7" fillId="3" borderId="1" xfId="0" applyFont="1" applyFill="1" applyBorder="1"/>
    <xf numFmtId="0" fontId="7" fillId="3" borderId="1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6" fillId="4" borderId="5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right"/>
    </xf>
    <xf numFmtId="9" fontId="0" fillId="0" borderId="4" xfId="0" applyNumberForma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0" fillId="5" borderId="0" xfId="0" applyNumberFormat="1" applyFill="1" applyAlignment="1">
      <alignment horizontal="center"/>
    </xf>
    <xf numFmtId="0" fontId="10" fillId="0" borderId="0" xfId="0" applyFont="1"/>
    <xf numFmtId="164" fontId="0" fillId="0" borderId="2" xfId="0" applyNumberFormat="1" applyBorder="1" applyAlignment="1">
      <alignment horizontal="center"/>
    </xf>
    <xf numFmtId="9" fontId="7" fillId="0" borderId="2" xfId="0" applyNumberFormat="1" applyFont="1" applyBorder="1" applyAlignment="1">
      <alignment horizontal="center"/>
    </xf>
    <xf numFmtId="9" fontId="7" fillId="6" borderId="2" xfId="0" applyNumberFormat="1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64" fontId="0" fillId="6" borderId="2" xfId="0" applyNumberForma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164" fontId="0" fillId="7" borderId="2" xfId="0" applyNumberFormat="1" applyFill="1" applyBorder="1" applyAlignment="1">
      <alignment horizontal="center"/>
    </xf>
    <xf numFmtId="0" fontId="7" fillId="0" borderId="0" xfId="0" applyFont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8" fillId="4" borderId="0" xfId="0" applyFont="1" applyFill="1" applyAlignment="1">
      <alignment horizontal="left" vertical="center" indent="1"/>
    </xf>
    <xf numFmtId="0" fontId="9" fillId="0" borderId="0" xfId="0" applyFont="1" applyAlignment="1">
      <alignment vertical="top" wrapText="1"/>
    </xf>
    <xf numFmtId="0" fontId="3" fillId="0" borderId="0" xfId="0" applyFont="1"/>
    <xf numFmtId="0" fontId="3" fillId="0" borderId="1" xfId="0" applyFont="1" applyBorder="1" applyAlignment="1">
      <alignment wrapText="1"/>
    </xf>
    <xf numFmtId="0" fontId="9" fillId="0" borderId="0" xfId="0" applyFont="1" applyAlignment="1">
      <alignment wrapText="1"/>
    </xf>
    <xf numFmtId="0" fontId="5" fillId="4" borderId="0" xfId="0" applyFont="1" applyFill="1" applyAlignment="1">
      <alignment horizontal="left" vertical="center" indent="1"/>
    </xf>
    <xf numFmtId="0" fontId="9" fillId="0" borderId="0" xfId="0" applyFont="1"/>
    <xf numFmtId="9" fontId="7" fillId="3" borderId="1" xfId="0" applyNumberFormat="1" applyFont="1" applyFill="1" applyBorder="1"/>
    <xf numFmtId="165" fontId="0" fillId="0" borderId="0" xfId="0" applyNumberFormat="1"/>
    <xf numFmtId="9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E6E6E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8</xdr:row>
      <xdr:rowOff>323850</xdr:rowOff>
    </xdr:from>
    <xdr:to>
      <xdr:col>4</xdr:col>
      <xdr:colOff>885825</xdr:colOff>
      <xdr:row>15</xdr:row>
      <xdr:rowOff>57150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51D18-6B07-9A23-F23A-31EA200BA07A}"/>
            </a:ext>
          </a:extLst>
        </xdr:cNvPr>
        <xdr:cNvSpPr/>
      </xdr:nvSpPr>
      <xdr:spPr>
        <a:xfrm>
          <a:off x="4572000" y="2295525"/>
          <a:ext cx="1809750" cy="1257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Preencher valor per capita usando PROCV com busca</a:t>
          </a:r>
          <a:r>
            <a:rPr lang="pt-BR" sz="1100" baseline="0"/>
            <a:t> por valor exato a partir da tabela de parâmetros</a:t>
          </a:r>
          <a:endParaRPr lang="pt-BR" sz="1100"/>
        </a:p>
      </xdr:txBody>
    </xdr:sp>
    <xdr:clientData/>
  </xdr:twoCellAnchor>
  <xdr:twoCellAnchor>
    <xdr:from>
      <xdr:col>3</xdr:col>
      <xdr:colOff>142873</xdr:colOff>
      <xdr:row>17</xdr:row>
      <xdr:rowOff>57150</xdr:rowOff>
    </xdr:from>
    <xdr:to>
      <xdr:col>9</xdr:col>
      <xdr:colOff>200024</xdr:colOff>
      <xdr:row>21</xdr:row>
      <xdr:rowOff>9526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165A314-321F-4ED5-9564-F9DC193A629D}"/>
            </a:ext>
          </a:extLst>
        </xdr:cNvPr>
        <xdr:cNvSpPr/>
      </xdr:nvSpPr>
      <xdr:spPr>
        <a:xfrm>
          <a:off x="4591048" y="3933825"/>
          <a:ext cx="6419851" cy="71437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Preencher Porte da Escola usando PROCV com busca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por valor aproximado a partir da tabela de parâmetros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Preencher dias letivos apenas buscando o valor da tabela de parâmetros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Preencher Repasse Anual Estimado usando SomarProduto (matriculas; Per Capita) * Dias Letivos</a:t>
          </a:r>
          <a:endParaRPr lang="pt-BR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123824</xdr:colOff>
      <xdr:row>21</xdr:row>
      <xdr:rowOff>180975</xdr:rowOff>
    </xdr:from>
    <xdr:to>
      <xdr:col>9</xdr:col>
      <xdr:colOff>190500</xdr:colOff>
      <xdr:row>24</xdr:row>
      <xdr:rowOff>1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3C50B3F-EF2A-4136-937D-655A71375A12}"/>
            </a:ext>
          </a:extLst>
        </xdr:cNvPr>
        <xdr:cNvSpPr/>
      </xdr:nvSpPr>
      <xdr:spPr>
        <a:xfrm>
          <a:off x="4571999" y="4819650"/>
          <a:ext cx="6429376" cy="71437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 a escola é pequena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E tem matrículas em Creche ou Pré-Escola então vamos considerar que é elegível: Escrever se com E e com OU </a:t>
          </a:r>
          <a:endParaRPr lang="pt-BR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4</xdr:col>
      <xdr:colOff>95250</xdr:colOff>
      <xdr:row>26</xdr:row>
      <xdr:rowOff>38099</xdr:rowOff>
    </xdr:from>
    <xdr:to>
      <xdr:col>6</xdr:col>
      <xdr:colOff>1400175</xdr:colOff>
      <xdr:row>33</xdr:row>
      <xdr:rowOff>66674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0948D75-2CD1-4FA1-BBC9-C00C35DBE2AD}"/>
            </a:ext>
          </a:extLst>
        </xdr:cNvPr>
        <xdr:cNvSpPr/>
      </xdr:nvSpPr>
      <xdr:spPr>
        <a:xfrm>
          <a:off x="5591175" y="5972174"/>
          <a:ext cx="3705225" cy="14954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Preparar um modelo para a Simulação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1) Dado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um fator de Reajuste, calcular a quantidade de matriculas ajustada (1+ Fator)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2) Calcular total a receber (em verde) usando SomarProduto (Matriculas; Valor Per Capita) * Dias Letivos</a:t>
          </a:r>
          <a:endParaRPr lang="pt-BR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180975</xdr:colOff>
      <xdr:row>38</xdr:row>
      <xdr:rowOff>38100</xdr:rowOff>
    </xdr:from>
    <xdr:to>
      <xdr:col>5</xdr:col>
      <xdr:colOff>752475</xdr:colOff>
      <xdr:row>41</xdr:row>
      <xdr:rowOff>180976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A024B665-3C88-4B12-A398-0F9887B435BB}"/>
            </a:ext>
          </a:extLst>
        </xdr:cNvPr>
        <xdr:cNvSpPr/>
      </xdr:nvSpPr>
      <xdr:spPr>
        <a:xfrm>
          <a:off x="4629150" y="8391525"/>
          <a:ext cx="2686050" cy="71437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Usar tabela de Dados para montar a simulação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dos valores a receber em função da variação nas matrículas</a:t>
          </a:r>
          <a:endParaRPr lang="pt-BR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6</xdr:col>
      <xdr:colOff>774700</xdr:colOff>
      <xdr:row>10</xdr:row>
      <xdr:rowOff>0</xdr:rowOff>
    </xdr:from>
    <xdr:to>
      <xdr:col>7</xdr:col>
      <xdr:colOff>419100</xdr:colOff>
      <xdr:row>12</xdr:row>
      <xdr:rowOff>114300</xdr:rowOff>
    </xdr:to>
    <xdr:sp macro="[0]!RegistrarSimulacao" textlink="">
      <xdr:nvSpPr>
        <xdr:cNvPr id="7" name="Retângulo 6">
          <a:extLst>
            <a:ext uri="{FF2B5EF4-FFF2-40B4-BE49-F238E27FC236}">
              <a16:creationId xmlns:a16="http://schemas.microsoft.com/office/drawing/2014/main" id="{E151C194-9948-B34E-0CA0-AECACC3F7E40}"/>
            </a:ext>
          </a:extLst>
        </xdr:cNvPr>
        <xdr:cNvSpPr/>
      </xdr:nvSpPr>
      <xdr:spPr>
        <a:xfrm>
          <a:off x="9804400" y="2527300"/>
          <a:ext cx="1320800" cy="4953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  <a:p>
          <a:pPr algn="l"/>
          <a:r>
            <a:rPr lang="pt-BR" sz="1100"/>
            <a:t>Registrar Simulação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EC9E9-BD66-0245-895E-8ADD2E84606E}">
  <sheetPr codeName="Planilha1"/>
  <dimension ref="A1:B20"/>
  <sheetViews>
    <sheetView showGridLines="0" zoomScaleNormal="100" workbookViewId="0">
      <selection activeCell="B13" sqref="B13"/>
    </sheetView>
  </sheetViews>
  <sheetFormatPr baseColWidth="10" defaultColWidth="8.6640625" defaultRowHeight="15" x14ac:dyDescent="0.2"/>
  <cols>
    <col min="1" max="1" width="26" customWidth="1"/>
    <col min="2" max="2" width="20" customWidth="1"/>
    <col min="3" max="3" width="4" customWidth="1"/>
  </cols>
  <sheetData>
    <row r="1" spans="1:2" ht="25.5" customHeight="1" x14ac:dyDescent="0.2">
      <c r="A1" s="41" t="s">
        <v>0</v>
      </c>
      <c r="B1" s="41"/>
    </row>
    <row r="2" spans="1:2" ht="62.25" customHeight="1" x14ac:dyDescent="0.2">
      <c r="A2" s="37" t="s">
        <v>1</v>
      </c>
      <c r="B2" s="37"/>
    </row>
    <row r="4" spans="1:2" ht="27.75" customHeight="1" x14ac:dyDescent="0.2">
      <c r="A4" s="9" t="s">
        <v>2</v>
      </c>
      <c r="B4" s="9" t="s">
        <v>3</v>
      </c>
    </row>
    <row r="5" spans="1:2" x14ac:dyDescent="0.2">
      <c r="A5" s="11" t="s">
        <v>4</v>
      </c>
      <c r="B5" s="12">
        <v>1.57</v>
      </c>
    </row>
    <row r="6" spans="1:2" x14ac:dyDescent="0.2">
      <c r="A6" s="11" t="s">
        <v>5</v>
      </c>
      <c r="B6" s="12">
        <v>0.82</v>
      </c>
    </row>
    <row r="7" spans="1:2" x14ac:dyDescent="0.2">
      <c r="A7" s="11" t="s">
        <v>6</v>
      </c>
      <c r="B7" s="12">
        <v>0.56999999999999995</v>
      </c>
    </row>
    <row r="8" spans="1:2" x14ac:dyDescent="0.2">
      <c r="A8" s="11" t="s">
        <v>7</v>
      </c>
      <c r="B8" s="12">
        <v>0.56999999999999995</v>
      </c>
    </row>
    <row r="9" spans="1:2" x14ac:dyDescent="0.2">
      <c r="A9" s="11" t="s">
        <v>8</v>
      </c>
      <c r="B9" s="12">
        <v>0.56999999999999995</v>
      </c>
    </row>
    <row r="10" spans="1:2" x14ac:dyDescent="0.2">
      <c r="A10" s="11" t="s">
        <v>9</v>
      </c>
      <c r="B10" s="12">
        <v>0.98</v>
      </c>
    </row>
    <row r="11" spans="1:2" x14ac:dyDescent="0.2">
      <c r="A11" s="11" t="s">
        <v>10</v>
      </c>
      <c r="B11" s="12">
        <v>0.78</v>
      </c>
    </row>
    <row r="13" spans="1:2" x14ac:dyDescent="0.2">
      <c r="A13" s="3" t="s">
        <v>11</v>
      </c>
      <c r="B13" s="4">
        <v>200</v>
      </c>
    </row>
    <row r="15" spans="1:2" x14ac:dyDescent="0.2">
      <c r="A15" s="38" t="s">
        <v>12</v>
      </c>
      <c r="B15" s="38"/>
    </row>
    <row r="16" spans="1:2" x14ac:dyDescent="0.2">
      <c r="A16" s="9" t="s">
        <v>13</v>
      </c>
      <c r="B16" s="9" t="s">
        <v>14</v>
      </c>
    </row>
    <row r="17" spans="1:2" x14ac:dyDescent="0.2">
      <c r="A17" s="10">
        <v>0</v>
      </c>
      <c r="B17" s="10" t="s">
        <v>15</v>
      </c>
    </row>
    <row r="18" spans="1:2" x14ac:dyDescent="0.2">
      <c r="A18" s="10">
        <v>201</v>
      </c>
      <c r="B18" s="10" t="s">
        <v>16</v>
      </c>
    </row>
    <row r="19" spans="1:2" x14ac:dyDescent="0.2">
      <c r="A19" s="10">
        <v>401</v>
      </c>
      <c r="B19" s="10" t="s">
        <v>17</v>
      </c>
    </row>
    <row r="20" spans="1:2" x14ac:dyDescent="0.2">
      <c r="A20" s="42" t="s">
        <v>35</v>
      </c>
      <c r="B20" s="42"/>
    </row>
  </sheetData>
  <mergeCells count="4">
    <mergeCell ref="A1:B1"/>
    <mergeCell ref="A2:B2"/>
    <mergeCell ref="A15:B15"/>
    <mergeCell ref="A20:B2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05451-E835-9549-B94C-F4C680F1A8B8}">
  <sheetPr codeName="Planilha2"/>
  <dimension ref="A1:F48"/>
  <sheetViews>
    <sheetView showGridLines="0" tabSelected="1" topLeftCell="A2" zoomScaleNormal="100" workbookViewId="0">
      <selection activeCell="F12" sqref="F12"/>
    </sheetView>
  </sheetViews>
  <sheetFormatPr baseColWidth="10" defaultColWidth="8.6640625" defaultRowHeight="15" x14ac:dyDescent="0.2"/>
  <cols>
    <col min="1" max="1" width="30" customWidth="1"/>
    <col min="2" max="2" width="18.5" bestFit="1" customWidth="1"/>
    <col min="3" max="3" width="18.33203125" bestFit="1" customWidth="1"/>
    <col min="4" max="4" width="15.6640625" bestFit="1" customWidth="1"/>
    <col min="5" max="5" width="16" customWidth="1"/>
    <col min="6" max="6" width="20" customWidth="1"/>
    <col min="7" max="7" width="22" customWidth="1"/>
    <col min="8" max="8" width="10" bestFit="1" customWidth="1"/>
    <col min="9" max="9" width="11.6640625" bestFit="1" customWidth="1"/>
  </cols>
  <sheetData>
    <row r="1" spans="1:3" ht="25.5" customHeight="1" x14ac:dyDescent="0.2">
      <c r="A1" s="36" t="s">
        <v>18</v>
      </c>
      <c r="B1" s="36"/>
      <c r="C1" s="36"/>
    </row>
    <row r="2" spans="1:3" ht="39.75" customHeight="1" x14ac:dyDescent="0.2">
      <c r="A2" s="37" t="s">
        <v>19</v>
      </c>
      <c r="B2" s="37"/>
      <c r="C2" s="37"/>
    </row>
    <row r="4" spans="1:3" x14ac:dyDescent="0.2">
      <c r="A4" s="3" t="s">
        <v>20</v>
      </c>
      <c r="B4" s="13" t="s">
        <v>21</v>
      </c>
    </row>
    <row r="5" spans="1:3" x14ac:dyDescent="0.2">
      <c r="A5" s="3" t="s">
        <v>22</v>
      </c>
      <c r="B5" s="13" t="s">
        <v>23</v>
      </c>
    </row>
    <row r="6" spans="1:3" x14ac:dyDescent="0.2">
      <c r="A6" s="3" t="s">
        <v>24</v>
      </c>
      <c r="B6" s="13" t="s">
        <v>25</v>
      </c>
    </row>
    <row r="8" spans="1:3" x14ac:dyDescent="0.2">
      <c r="A8" s="38" t="s">
        <v>26</v>
      </c>
      <c r="B8" s="38"/>
      <c r="C8" s="38"/>
    </row>
    <row r="9" spans="1:3" ht="30" customHeight="1" x14ac:dyDescent="0.2">
      <c r="A9" s="9" t="s">
        <v>2</v>
      </c>
      <c r="B9" s="9" t="s">
        <v>27</v>
      </c>
      <c r="C9" s="9" t="s">
        <v>3</v>
      </c>
    </row>
    <row r="10" spans="1:3" x14ac:dyDescent="0.2">
      <c r="A10" s="11" t="s">
        <v>4</v>
      </c>
      <c r="B10" s="14">
        <v>60</v>
      </c>
      <c r="C10" s="12">
        <f>VLOOKUP(A10,Parametros_PNAE!$A$5:$B$11,2,FALSE)</f>
        <v>1.57</v>
      </c>
    </row>
    <row r="11" spans="1:3" x14ac:dyDescent="0.2">
      <c r="A11" s="11" t="s">
        <v>5</v>
      </c>
      <c r="B11" s="14">
        <v>80</v>
      </c>
      <c r="C11" s="12">
        <f>VLOOKUP(A11,Parametros_PNAE!$A$5:$B$11,2,FALSE)</f>
        <v>0.82</v>
      </c>
    </row>
    <row r="12" spans="1:3" x14ac:dyDescent="0.2">
      <c r="A12" s="11" t="s">
        <v>6</v>
      </c>
      <c r="B12" s="14">
        <v>50</v>
      </c>
      <c r="C12" s="12">
        <f>VLOOKUP(A12,Parametros_PNAE!$A$5:$B$11,2,FALSE)</f>
        <v>0.56999999999999995</v>
      </c>
    </row>
    <row r="13" spans="1:3" x14ac:dyDescent="0.2">
      <c r="A13" s="11" t="s">
        <v>7</v>
      </c>
      <c r="B13" s="14">
        <v>0</v>
      </c>
      <c r="C13" s="12">
        <f>VLOOKUP(A13,Parametros_PNAE!$A$5:$B$11,2,FALSE)</f>
        <v>0.56999999999999995</v>
      </c>
    </row>
    <row r="14" spans="1:3" x14ac:dyDescent="0.2">
      <c r="A14" s="11" t="s">
        <v>8</v>
      </c>
      <c r="B14" s="14">
        <v>0</v>
      </c>
      <c r="C14" s="12">
        <f>VLOOKUP(A14,Parametros_PNAE!$A$5:$B$11,2,FALSE)</f>
        <v>0.56999999999999995</v>
      </c>
    </row>
    <row r="15" spans="1:3" x14ac:dyDescent="0.2">
      <c r="A15" s="11" t="s">
        <v>9</v>
      </c>
      <c r="B15" s="14">
        <v>0</v>
      </c>
      <c r="C15" s="12">
        <f>VLOOKUP(A15,Parametros_PNAE!$A$5:$B$11,2,FALSE)</f>
        <v>0.98</v>
      </c>
    </row>
    <row r="16" spans="1:3" x14ac:dyDescent="0.2">
      <c r="A16" s="11" t="s">
        <v>10</v>
      </c>
      <c r="B16" s="14">
        <v>0</v>
      </c>
      <c r="C16" s="12">
        <f>VLOOKUP(A16,Parametros_PNAE!$A$5:$B$11,2,FALSE)</f>
        <v>0.78</v>
      </c>
    </row>
    <row r="17" spans="1:6" x14ac:dyDescent="0.2">
      <c r="A17" s="5" t="s">
        <v>28</v>
      </c>
      <c r="B17" s="2">
        <f>SUM(B10:B16)</f>
        <v>190</v>
      </c>
      <c r="C17" s="6"/>
    </row>
    <row r="19" spans="1:6" x14ac:dyDescent="0.2">
      <c r="A19" s="3" t="s">
        <v>29</v>
      </c>
      <c r="B19" s="1" t="str">
        <f>VLOOKUP(B17,Parametros_PNAE!$A$17:$B$19,2,TRUE())</f>
        <v>Pequena</v>
      </c>
      <c r="C19" s="6" t="str">
        <f>VLOOKUP(B17,Parametros_PNAE!A17:B19,2,TRUE)</f>
        <v>Pequena</v>
      </c>
    </row>
    <row r="20" spans="1:6" x14ac:dyDescent="0.2">
      <c r="A20" s="3" t="s">
        <v>30</v>
      </c>
      <c r="B20" s="1">
        <f>Parametros_PNAE!B13</f>
        <v>200</v>
      </c>
      <c r="C20" s="6">
        <f>Parametros_PNAE!B13</f>
        <v>200</v>
      </c>
    </row>
    <row r="21" spans="1:6" x14ac:dyDescent="0.2">
      <c r="A21" s="3" t="s">
        <v>31</v>
      </c>
      <c r="B21" s="7">
        <f>SUMPRODUCT(B10:B16,C10:C16)*B20</f>
        <v>37660</v>
      </c>
      <c r="C21" s="7"/>
    </row>
    <row r="23" spans="1:6" ht="30" customHeight="1" x14ac:dyDescent="0.2">
      <c r="A23" s="39" t="s">
        <v>32</v>
      </c>
      <c r="B23" s="39"/>
      <c r="C23" s="8" t="str">
        <f>IF(AND(B19="Pequena",OR(B10&gt;0,B11&gt;0)),"Elegível","Não elegível")</f>
        <v>Elegível</v>
      </c>
    </row>
    <row r="24" spans="1:6" ht="25.5" customHeight="1" x14ac:dyDescent="0.2">
      <c r="A24" s="40" t="s">
        <v>33</v>
      </c>
      <c r="B24" s="40"/>
      <c r="C24" s="40"/>
    </row>
    <row r="25" spans="1:6" ht="16" thickBot="1" x14ac:dyDescent="0.25">
      <c r="B25" s="22" t="s">
        <v>41</v>
      </c>
      <c r="C25" s="43"/>
      <c r="E25" s="3" t="s">
        <v>42</v>
      </c>
      <c r="F25" s="13"/>
    </row>
    <row r="26" spans="1:6" ht="16" thickBot="1" x14ac:dyDescent="0.25">
      <c r="A26" s="26" t="s">
        <v>36</v>
      </c>
      <c r="B26" s="22" t="s">
        <v>37</v>
      </c>
      <c r="C26" s="23"/>
    </row>
    <row r="27" spans="1:6" ht="28" x14ac:dyDescent="0.2">
      <c r="A27" s="17" t="s">
        <v>2</v>
      </c>
      <c r="B27" s="17" t="s">
        <v>27</v>
      </c>
      <c r="C27" s="21" t="s">
        <v>38</v>
      </c>
      <c r="D27" s="17" t="s">
        <v>3</v>
      </c>
    </row>
    <row r="28" spans="1:6" x14ac:dyDescent="0.2">
      <c r="A28" s="18" t="s">
        <v>4</v>
      </c>
      <c r="B28" s="19">
        <v>60</v>
      </c>
      <c r="C28" s="20">
        <f>B28*(1+$C$26)</f>
        <v>60</v>
      </c>
      <c r="D28" s="24">
        <f>C10</f>
        <v>1.57</v>
      </c>
    </row>
    <row r="29" spans="1:6" x14ac:dyDescent="0.2">
      <c r="A29" s="18" t="s">
        <v>5</v>
      </c>
      <c r="B29" s="19">
        <v>80</v>
      </c>
      <c r="C29" s="20">
        <f>B29*(1+$C$26)</f>
        <v>80</v>
      </c>
      <c r="D29" s="24">
        <f t="shared" ref="D29:D34" si="0">C11</f>
        <v>0.82</v>
      </c>
    </row>
    <row r="30" spans="1:6" x14ac:dyDescent="0.2">
      <c r="A30" s="18" t="s">
        <v>6</v>
      </c>
      <c r="B30" s="19">
        <v>50</v>
      </c>
      <c r="C30" s="20">
        <f>B30*(1+$C$26)</f>
        <v>50</v>
      </c>
      <c r="D30" s="24">
        <f t="shared" si="0"/>
        <v>0.56999999999999995</v>
      </c>
    </row>
    <row r="31" spans="1:6" x14ac:dyDescent="0.2">
      <c r="A31" s="18" t="s">
        <v>7</v>
      </c>
      <c r="B31" s="19">
        <v>0</v>
      </c>
      <c r="C31" s="20">
        <f>B31*(1+$C$26)</f>
        <v>0</v>
      </c>
      <c r="D31" s="24">
        <f t="shared" si="0"/>
        <v>0.56999999999999995</v>
      </c>
    </row>
    <row r="32" spans="1:6" x14ac:dyDescent="0.2">
      <c r="A32" s="18" t="s">
        <v>8</v>
      </c>
      <c r="B32" s="19">
        <v>0</v>
      </c>
      <c r="C32" s="20">
        <f>B32*(1+$C$26)</f>
        <v>0</v>
      </c>
      <c r="D32" s="24">
        <f t="shared" si="0"/>
        <v>0.56999999999999995</v>
      </c>
    </row>
    <row r="33" spans="1:4" x14ac:dyDescent="0.2">
      <c r="A33" s="18" t="s">
        <v>9</v>
      </c>
      <c r="B33" s="19">
        <v>0</v>
      </c>
      <c r="C33" s="20">
        <f>B33*(1+$C$26)</f>
        <v>0</v>
      </c>
      <c r="D33" s="24">
        <f t="shared" si="0"/>
        <v>0.98</v>
      </c>
    </row>
    <row r="34" spans="1:4" x14ac:dyDescent="0.2">
      <c r="A34" s="18" t="s">
        <v>10</v>
      </c>
      <c r="B34" s="19">
        <v>0</v>
      </c>
      <c r="C34" s="20">
        <f>B34*(1+$C$26)</f>
        <v>0</v>
      </c>
      <c r="D34" s="24">
        <f t="shared" si="0"/>
        <v>0.78</v>
      </c>
    </row>
    <row r="35" spans="1:4" x14ac:dyDescent="0.2">
      <c r="A35" s="15" t="s">
        <v>39</v>
      </c>
      <c r="B35" s="16"/>
      <c r="C35" s="16">
        <f>SUM(C28:C34)</f>
        <v>190</v>
      </c>
      <c r="D35" s="25">
        <f>SUMPRODUCT(C28:C34,D28:D34)*B20</f>
        <v>37660</v>
      </c>
    </row>
    <row r="37" spans="1:4" x14ac:dyDescent="0.2">
      <c r="A37" s="34" t="s">
        <v>40</v>
      </c>
      <c r="B37" s="34"/>
      <c r="C37" s="34"/>
    </row>
    <row r="38" spans="1:4" x14ac:dyDescent="0.2">
      <c r="A38" s="35"/>
      <c r="B38" s="35"/>
      <c r="C38" s="35"/>
    </row>
    <row r="39" spans="1:4" x14ac:dyDescent="0.2">
      <c r="A39" s="17" t="s">
        <v>34</v>
      </c>
      <c r="B39" s="32">
        <f>C35</f>
        <v>190</v>
      </c>
      <c r="C39" s="33">
        <f>D35</f>
        <v>37660</v>
      </c>
    </row>
    <row r="40" spans="1:4" x14ac:dyDescent="0.2">
      <c r="A40" s="28">
        <v>-0.2</v>
      </c>
      <c r="B40" s="20">
        <f t="dataTable" ref="B40:C48" dt2D="0" dtr="0" r1="C26"/>
        <v>152</v>
      </c>
      <c r="C40" s="27">
        <v>30127.999999999996</v>
      </c>
    </row>
    <row r="41" spans="1:4" x14ac:dyDescent="0.2">
      <c r="A41" s="28">
        <v>-0.15</v>
      </c>
      <c r="B41" s="20">
        <v>161.5</v>
      </c>
      <c r="C41" s="27">
        <v>32011</v>
      </c>
    </row>
    <row r="42" spans="1:4" x14ac:dyDescent="0.2">
      <c r="A42" s="28">
        <v>-0.1</v>
      </c>
      <c r="B42" s="20">
        <v>171</v>
      </c>
      <c r="C42" s="27">
        <v>33894</v>
      </c>
    </row>
    <row r="43" spans="1:4" x14ac:dyDescent="0.2">
      <c r="A43" s="28">
        <v>-0.05</v>
      </c>
      <c r="B43" s="20">
        <v>180.5</v>
      </c>
      <c r="C43" s="27">
        <v>35777</v>
      </c>
    </row>
    <row r="44" spans="1:4" x14ac:dyDescent="0.2">
      <c r="A44" s="29">
        <v>0</v>
      </c>
      <c r="B44" s="30">
        <v>190</v>
      </c>
      <c r="C44" s="31">
        <v>37660</v>
      </c>
    </row>
    <row r="45" spans="1:4" x14ac:dyDescent="0.2">
      <c r="A45" s="28">
        <v>0.05</v>
      </c>
      <c r="B45" s="20">
        <v>199.5</v>
      </c>
      <c r="C45" s="27">
        <v>39543.000000000007</v>
      </c>
    </row>
    <row r="46" spans="1:4" x14ac:dyDescent="0.2">
      <c r="A46" s="28">
        <v>0.1</v>
      </c>
      <c r="B46" s="20">
        <v>209</v>
      </c>
      <c r="C46" s="27">
        <v>41426</v>
      </c>
    </row>
    <row r="47" spans="1:4" x14ac:dyDescent="0.2">
      <c r="A47" s="28">
        <v>0.15</v>
      </c>
      <c r="B47" s="20">
        <v>218.5</v>
      </c>
      <c r="C47" s="27">
        <v>43308.999999999993</v>
      </c>
    </row>
    <row r="48" spans="1:4" x14ac:dyDescent="0.2">
      <c r="A48" s="28">
        <v>0.2</v>
      </c>
      <c r="B48" s="20">
        <v>228</v>
      </c>
      <c r="C48" s="27">
        <v>45191.999999999993</v>
      </c>
    </row>
  </sheetData>
  <mergeCells count="6">
    <mergeCell ref="A37:C38"/>
    <mergeCell ref="A1:C1"/>
    <mergeCell ref="A2:C2"/>
    <mergeCell ref="A8:C8"/>
    <mergeCell ref="A23:B23"/>
    <mergeCell ref="A24:C24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85CE9-7CD0-DC4E-91B1-30712A46E85B}">
  <sheetPr codeName="Planilha3"/>
  <dimension ref="A1:G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6" customWidth="1"/>
    <col min="2" max="2" width="18" customWidth="1"/>
    <col min="3" max="3" width="16" customWidth="1"/>
    <col min="4" max="4" width="55" customWidth="1"/>
    <col min="5" max="5" width="30" customWidth="1"/>
    <col min="6" max="6" width="18" customWidth="1"/>
    <col min="7" max="7" width="22" customWidth="1"/>
  </cols>
  <sheetData>
    <row r="1" spans="1:7" x14ac:dyDescent="0.2">
      <c r="A1" s="9" t="s">
        <v>43</v>
      </c>
      <c r="B1" s="9" t="s">
        <v>44</v>
      </c>
      <c r="C1" s="9" t="s">
        <v>37</v>
      </c>
      <c r="D1" s="9" t="s">
        <v>41</v>
      </c>
      <c r="E1" s="9" t="s">
        <v>45</v>
      </c>
      <c r="F1" s="9" t="s">
        <v>46</v>
      </c>
      <c r="G1" s="9" t="s">
        <v>42</v>
      </c>
    </row>
    <row r="2" spans="1:7" x14ac:dyDescent="0.2">
      <c r="A2">
        <v>1</v>
      </c>
      <c r="B2" s="44">
        <v>46299.637430555558</v>
      </c>
      <c r="C2" s="45">
        <v>-0.05</v>
      </c>
      <c r="D2" t="s">
        <v>47</v>
      </c>
      <c r="E2">
        <v>180.5</v>
      </c>
      <c r="F2" s="46">
        <v>35777</v>
      </c>
      <c r="G2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Parametros_PNAE</vt:lpstr>
      <vt:lpstr>Simulador_Escola</vt:lpstr>
      <vt:lpstr>Banco_de_Dados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João Henrique Viana</cp:lastModifiedBy>
  <cp:revision>0</cp:revision>
  <dcterms:created xsi:type="dcterms:W3CDTF">2026-08-19T11:20:05Z</dcterms:created>
  <dcterms:modified xsi:type="dcterms:W3CDTF">2026-10-04T18:20:14Z</dcterms:modified>
  <dc:language>en-US</dc:language>
</cp:coreProperties>
</file>